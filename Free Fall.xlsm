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Jessica\Desktop\Queda Livre_submissão\Submeter\"/>
    </mc:Choice>
  </mc:AlternateContent>
  <xr:revisionPtr revIDLastSave="0" documentId="13_ncr:1_{35A0E103-096C-4C72-9B18-FDF1ABAA9C25}" xr6:coauthVersionLast="47" xr6:coauthVersionMax="47" xr10:uidLastSave="{00000000-0000-0000-0000-000000000000}"/>
  <bookViews>
    <workbookView xWindow="0" yWindow="0" windowWidth="23040" windowHeight="12240" tabRatio="275" xr2:uid="{00000000-000D-0000-FFFF-FFFF00000000}"/>
  </bookViews>
  <sheets>
    <sheet name="FreeFall" sheetId="1" r:id="rId1"/>
    <sheet name="g" sheetId="3" r:id="rId2"/>
    <sheet name="Config" sheetId="2" r:id="rId3"/>
  </sheets>
  <functionGroups builtInGroupCount="19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 a="1"/>
  <c r="P2" i="1" s="1"/>
  <c r="T2" i="1" a="1"/>
  <c r="T2" i="1" s="1"/>
  <c r="J2" i="1" a="1"/>
  <c r="J2" i="1" s="1"/>
  <c r="F2" i="1" a="1"/>
  <c r="F2" i="1" s="1"/>
  <c r="B24" i="1"/>
  <c r="B22" i="1"/>
  <c r="E2" i="3" a="1"/>
  <c r="E2" i="3" s="1"/>
  <c r="D2" i="3" a="1"/>
  <c r="D2" i="3" s="1"/>
  <c r="A2" i="3" a="1"/>
  <c r="A2" i="3" s="1"/>
  <c r="B2" i="3" a="1"/>
  <c r="B2" i="3" s="1"/>
  <c r="Q8" i="3" l="1" a="1"/>
  <c r="Q8" i="3" s="1"/>
  <c r="Q7" i="3" a="1"/>
  <c r="Q7" i="3" s="1"/>
  <c r="B26" i="1"/>
  <c r="F2" i="3" l="1"/>
  <c r="F19" i="3"/>
  <c r="F18" i="3"/>
  <c r="F3" i="3"/>
  <c r="F6" i="3"/>
  <c r="F7" i="3"/>
  <c r="C17" i="3"/>
  <c r="C9" i="3"/>
  <c r="F4" i="3"/>
  <c r="F5" i="3"/>
  <c r="F10" i="3"/>
  <c r="C11" i="3"/>
  <c r="F14" i="3"/>
  <c r="F8" i="3"/>
  <c r="F13" i="3"/>
  <c r="F16" i="3"/>
  <c r="F11" i="3"/>
  <c r="F12" i="3"/>
  <c r="F15" i="3"/>
  <c r="F17" i="3"/>
  <c r="F20" i="3"/>
  <c r="C4" i="3"/>
  <c r="C10" i="3"/>
  <c r="C12" i="3"/>
  <c r="C14" i="3"/>
  <c r="C15" i="3"/>
  <c r="C18" i="3"/>
  <c r="C13" i="3"/>
  <c r="C3" i="3"/>
  <c r="C6" i="3"/>
  <c r="C7" i="3"/>
  <c r="C20" i="3"/>
  <c r="C5" i="3"/>
  <c r="C8" i="3"/>
  <c r="C16" i="3"/>
  <c r="C19" i="3"/>
  <c r="C2" i="3"/>
  <c r="F9" i="3" l="1"/>
  <c r="T1" i="3" s="1" a="1"/>
  <c r="T1" i="3" s="1"/>
  <c r="L1" i="3" a="1"/>
  <c r="L1" i="3" s="1"/>
  <c r="I1" i="3" a="1"/>
  <c r="I1" i="3" s="1"/>
  <c r="Q1" i="3" l="1" a="1"/>
  <c r="Q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<sst xmlns="http://schemas.openxmlformats.org/spreadsheetml/2006/main" count="56" uniqueCount="43">
  <si>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</si>
  <si>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</si>
  <si>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</si>
  <si>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</si>
  <si>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</si>
  <si>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</si>
  <si>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</si>
  <si>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</si>
  <si>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</si>
  <si>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</si>
  <si>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</si>
  <si>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</si>
  <si>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</si>
  <si>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</si>
  <si>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</si>
  <si>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</si>
  <si>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</si>
  <si>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</si>
  <si>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</si>
  <si>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b</t>
  </si>
  <si>
    <t>c</t>
  </si>
  <si>
    <t>s</t>
  </si>
  <si>
    <r>
      <t>T</t>
    </r>
    <r>
      <rPr>
        <b/>
        <vertAlign val="subscript"/>
        <sz val="20"/>
        <color rgb="FF0000FF"/>
        <rFont val="Calibri"/>
        <family val="2"/>
        <scheme val="minor"/>
      </rPr>
      <t>q</t>
    </r>
    <r>
      <rPr>
        <b/>
        <sz val="20"/>
        <color rgb="FF0000FF"/>
        <rFont val="Calibri"/>
        <family val="2"/>
        <scheme val="minor"/>
      </rPr>
      <t>=</t>
    </r>
  </si>
  <si>
    <r>
      <t>T</t>
    </r>
    <r>
      <rPr>
        <b/>
        <vertAlign val="subscript"/>
        <sz val="20"/>
        <color rgb="FFFF0000"/>
        <rFont val="Calibri"/>
        <family val="2"/>
        <scheme val="minor"/>
      </rPr>
      <t>q</t>
    </r>
    <r>
      <rPr>
        <b/>
        <sz val="20"/>
        <color rgb="FFFF0000"/>
        <rFont val="Calibri"/>
        <family val="2"/>
        <scheme val="minor"/>
      </rPr>
      <t>=</t>
    </r>
  </si>
  <si>
    <t>ms</t>
  </si>
  <si>
    <r>
      <rPr>
        <b/>
        <sz val="20"/>
        <color theme="1"/>
        <rFont val="Symbol"/>
        <family val="1"/>
        <charset val="2"/>
      </rPr>
      <t>D</t>
    </r>
    <r>
      <rPr>
        <b/>
        <sz val="20"/>
        <color theme="1"/>
        <rFont val="Calibri"/>
        <family val="2"/>
        <scheme val="minor"/>
      </rPr>
      <t>T=</t>
    </r>
  </si>
  <si>
    <t>t</t>
  </si>
  <si>
    <r>
      <t>t</t>
    </r>
    <r>
      <rPr>
        <b/>
        <vertAlign val="superscript"/>
        <sz val="16"/>
        <color rgb="FF0000FF"/>
        <rFont val="Calibri"/>
        <family val="2"/>
        <scheme val="minor"/>
      </rPr>
      <t>2</t>
    </r>
    <r>
      <rPr>
        <b/>
        <sz val="16"/>
        <color rgb="FF0000FF"/>
        <rFont val="Calibri"/>
        <family val="2"/>
        <scheme val="minor"/>
      </rPr>
      <t xml:space="preserve"> +</t>
    </r>
  </si>
  <si>
    <r>
      <t>t</t>
    </r>
    <r>
      <rPr>
        <b/>
        <vertAlign val="superscript"/>
        <sz val="16"/>
        <color rgb="FFFF0000"/>
        <rFont val="Calibri"/>
        <family val="2"/>
        <scheme val="minor"/>
      </rPr>
      <t>2</t>
    </r>
    <r>
      <rPr>
        <b/>
        <sz val="16"/>
        <color rgb="FFFF0000"/>
        <rFont val="Calibri"/>
        <family val="2"/>
        <scheme val="minor"/>
      </rPr>
      <t xml:space="preserve"> +</t>
    </r>
  </si>
  <si>
    <r>
      <rPr>
        <b/>
        <sz val="16"/>
        <color rgb="FF0000FF"/>
        <rFont val="Symbol"/>
        <family val="1"/>
        <charset val="2"/>
      </rPr>
      <t>D</t>
    </r>
    <r>
      <rPr>
        <b/>
        <sz val="16"/>
        <color rgb="FF0000FF"/>
        <rFont val="Calibri"/>
        <family val="2"/>
        <scheme val="minor"/>
      </rPr>
      <t>S=</t>
    </r>
  </si>
  <si>
    <r>
      <rPr>
        <b/>
        <sz val="16"/>
        <color rgb="FFFF0000"/>
        <rFont val="Symbol"/>
        <family val="1"/>
        <charset val="2"/>
      </rPr>
      <t>D</t>
    </r>
    <r>
      <rPr>
        <b/>
        <sz val="16"/>
        <color rgb="FFFF0000"/>
        <rFont val="Calibri"/>
        <family val="2"/>
        <scheme val="minor"/>
      </rPr>
      <t>S=</t>
    </r>
  </si>
  <si>
    <t>Clear Data 1</t>
  </si>
  <si>
    <t>Transfer Data 1</t>
  </si>
  <si>
    <t>Transfer Data 2</t>
  </si>
  <si>
    <t>Clear Data 2</t>
  </si>
  <si>
    <t>t(s)</t>
  </si>
  <si>
    <t>S(m)</t>
  </si>
  <si>
    <t>t (s)</t>
  </si>
  <si>
    <t>s (m)</t>
  </si>
  <si>
    <t>v (m/s)</t>
  </si>
  <si>
    <t>s(m)</t>
  </si>
  <si>
    <t>v(t)=</t>
  </si>
  <si>
    <t>t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</si>
</sst>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,000"/>
    <numFmt numFmtId="166" formatCode="0.0000"/>
    <numFmt numFmtId="167" formatCode="##0.0000"/>
  </numFmts>
  <fonts count="29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0"/>
      <color rgb="FF0000FF"/>
      <name val="Calibri"/>
      <family val="2"/>
      <scheme val="minor"/>
    </font>
    <font>
      <b/>
      <vertAlign val="subscript"/>
      <sz val="20"/>
      <color rgb="FF0000FF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vertAlign val="subscript"/>
      <sz val="20"/>
      <color rgb="FFFF0000"/>
      <name val="Calibri"/>
      <family val="2"/>
      <scheme val="minor"/>
    </font>
    <font>
      <b/>
      <sz val="20"/>
      <color theme="1"/>
      <name val="Calibri"/>
      <family val="1"/>
      <charset val="2"/>
      <scheme val="minor"/>
    </font>
    <font>
      <b/>
      <sz val="20"/>
      <color theme="1"/>
      <name val="Symbol"/>
      <family val="1"/>
      <charset val="2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6"/>
      <color rgb="FF0000FF"/>
      <name val="Calibri"/>
      <family val="2"/>
      <scheme val="minor"/>
    </font>
    <font>
      <b/>
      <vertAlign val="superscript"/>
      <sz val="16"/>
      <color rgb="FFFF0000"/>
      <name val="Calibri"/>
      <family val="2"/>
      <scheme val="minor"/>
    </font>
    <font>
      <b/>
      <sz val="16"/>
      <color rgb="FF0000FF"/>
      <name val="Symbol"/>
      <family val="1"/>
      <charset val="2"/>
    </font>
    <font>
      <b/>
      <sz val="16"/>
      <color rgb="FF0000FF"/>
      <name val="Calibri"/>
      <family val="1"/>
      <charset val="2"/>
      <scheme val="minor"/>
    </font>
    <font>
      <b/>
      <sz val="16"/>
      <color rgb="FFFF0000"/>
      <name val="Symbol"/>
      <family val="1"/>
      <charset val="2"/>
    </font>
    <font>
      <b/>
      <sz val="16"/>
      <color rgb="FFFF0000"/>
      <name val="Calibri"/>
      <family val="1"/>
      <charset val="2"/>
      <scheme val="minor"/>
    </font>
    <font>
      <b/>
      <sz val="14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34998626667073579"/>
      </right>
      <top/>
      <bottom/>
      <diagonal/>
    </border>
    <border>
      <left style="medium">
        <color theme="1" tint="0.34998626667073579"/>
      </left>
      <right style="thin">
        <color theme="1" tint="0.34998626667073579"/>
      </right>
      <top/>
      <bottom/>
      <diagonal/>
    </border>
    <border>
      <left style="medium">
        <color theme="1" tint="0.34998626667073579"/>
      </left>
      <right style="thin">
        <color theme="1" tint="0.34998626667073579"/>
      </right>
      <top/>
      <bottom style="medium">
        <color theme="1" tint="0.34998626667073579"/>
      </bottom>
      <diagonal/>
    </border>
    <border>
      <left/>
      <right style="thin">
        <color theme="1" tint="0.34998626667073579"/>
      </right>
      <top/>
      <bottom style="medium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medium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2" fontId="0" fillId="0" borderId="0" xfId="0" applyNumberFormat="1"/>
    <xf numFmtId="165" fontId="0" fillId="0" borderId="0" xfId="0" applyNumberFormat="1"/>
    <xf numFmtId="167" fontId="0" fillId="0" borderId="0" xfId="0" applyNumberFormat="1"/>
    <xf numFmtId="0" fontId="6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18" fillId="0" borderId="0" xfId="0" applyFont="1" applyAlignment="1">
      <alignment horizontal="right"/>
    </xf>
    <xf numFmtId="0" fontId="18" fillId="0" borderId="0" xfId="0" applyFont="1"/>
    <xf numFmtId="0" fontId="11" fillId="0" borderId="0" xfId="0" applyFont="1" applyAlignment="1">
      <alignment horizontal="right"/>
    </xf>
    <xf numFmtId="166" fontId="11" fillId="0" borderId="0" xfId="0" applyNumberFormat="1" applyFont="1" applyAlignment="1">
      <alignment horizontal="center"/>
    </xf>
    <xf numFmtId="0" fontId="11" fillId="0" borderId="0" xfId="0" applyFont="1" applyAlignment="1">
      <alignment wrapText="1"/>
    </xf>
    <xf numFmtId="0" fontId="17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right"/>
    </xf>
    <xf numFmtId="0" fontId="7" fillId="0" borderId="0" xfId="0" applyFont="1"/>
    <xf numFmtId="0" fontId="8" fillId="0" borderId="0" xfId="0" applyFont="1"/>
    <xf numFmtId="166" fontId="2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 wrapText="1"/>
    </xf>
    <xf numFmtId="166" fontId="2" fillId="0" borderId="0" xfId="0" applyNumberFormat="1" applyFont="1" applyAlignment="1">
      <alignment horizontal="center" wrapText="1"/>
    </xf>
    <xf numFmtId="0" fontId="22" fillId="0" borderId="0" xfId="0" applyFont="1" applyAlignment="1">
      <alignment horizontal="right"/>
    </xf>
    <xf numFmtId="0" fontId="24" fillId="0" borderId="0" xfId="0" applyFont="1" applyAlignment="1">
      <alignment horizontal="right"/>
    </xf>
    <xf numFmtId="2" fontId="17" fillId="0" borderId="0" xfId="0" applyNumberFormat="1" applyFont="1" applyAlignment="1">
      <alignment horizontal="center"/>
    </xf>
    <xf numFmtId="2" fontId="26" fillId="0" borderId="7" xfId="0" applyNumberFormat="1" applyFont="1" applyBorder="1" applyAlignment="1">
      <alignment horizontal="center"/>
    </xf>
    <xf numFmtId="2" fontId="27" fillId="0" borderId="7" xfId="0" applyNumberFormat="1" applyFont="1" applyBorder="1" applyAlignment="1">
      <alignment horizontal="center"/>
    </xf>
    <xf numFmtId="2" fontId="26" fillId="0" borderId="8" xfId="0" applyNumberFormat="1" applyFont="1" applyBorder="1" applyAlignment="1">
      <alignment horizontal="center"/>
    </xf>
    <xf numFmtId="2" fontId="27" fillId="0" borderId="8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6" fontId="9" fillId="0" borderId="3" xfId="0" applyNumberFormat="1" applyFont="1" applyBorder="1" applyAlignment="1">
      <alignment horizontal="center" wrapText="1"/>
    </xf>
    <xf numFmtId="167" fontId="9" fillId="0" borderId="2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6" xfId="0" applyNumberFormat="1" applyFont="1" applyBorder="1" applyAlignment="1">
      <alignment horizontal="center" wrapText="1"/>
    </xf>
    <xf numFmtId="167" fontId="10" fillId="0" borderId="7" xfId="0" applyNumberFormat="1" applyFont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166" fontId="9" fillId="0" borderId="4" xfId="0" applyNumberFormat="1" applyFont="1" applyBorder="1" applyAlignment="1">
      <alignment horizontal="center" wrapText="1"/>
    </xf>
    <xf numFmtId="167" fontId="9" fillId="0" borderId="5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2" fontId="7" fillId="0" borderId="0" xfId="0" applyNumberFormat="1" applyFont="1" applyAlignment="1">
      <alignment horizontal="right"/>
    </xf>
    <xf numFmtId="2" fontId="8" fillId="0" borderId="0" xfId="0" applyNumberFormat="1" applyFont="1"/>
    <xf numFmtId="2" fontId="8" fillId="0" borderId="0" xfId="0" applyNumberFormat="1" applyFont="1" applyAlignment="1">
      <alignment horizontal="right"/>
    </xf>
    <xf numFmtId="0" fontId="28" fillId="0" borderId="0" xfId="0" applyFont="1" applyAlignment="1">
      <alignment horizontal="right"/>
    </xf>
    <xf numFmtId="0" fontId="28" fillId="0" borderId="0" xfId="0" applyFont="1"/>
    <xf numFmtId="0" fontId="28" fillId="0" borderId="0" xfId="0" applyFont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left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25" fillId="0" borderId="11" xfId="0" applyFont="1" applyBorder="1" applyAlignment="1">
      <alignment horizontal="center" wrapText="1"/>
    </xf>
    <xf numFmtId="0" fontId="25" fillId="0" borderId="1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083288545789153"/>
          <c:y val="4.9965872228437944E-2"/>
          <c:w val="0.7253492985006319"/>
          <c:h val="0.7773405110075526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28575">
                <a:solidFill>
                  <a:srgbClr val="0000FF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00FF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0"/>
            <c:dispEq val="0"/>
          </c:trendline>
          <c:xVal>
            <c:numRef>
              <c:f>FreeFall!$A$2:$A$20</c:f>
              <c:numCache>
                <c:formatCode>0.0000</c:formatCode>
                <c:ptCount val="19"/>
                <c:pt idx="0">
                  <c:v>0</c:v>
                </c:pt>
                <c:pt idx="1">
                  <c:v>1.43E-2</c:v>
                </c:pt>
                <c:pt idx="2">
                  <c:v>3.1600000000000003E-2</c:v>
                </c:pt>
                <c:pt idx="3">
                  <c:v>4.2700000000000002E-2</c:v>
                </c:pt>
                <c:pt idx="4">
                  <c:v>5.7000000000000002E-2</c:v>
                </c:pt>
                <c:pt idx="5">
                  <c:v>6.6400000000000001E-2</c:v>
                </c:pt>
                <c:pt idx="6">
                  <c:v>7.8700000000000006E-2</c:v>
                </c:pt>
                <c:pt idx="7">
                  <c:v>8.7099999999999997E-2</c:v>
                </c:pt>
                <c:pt idx="8">
                  <c:v>9.8299999999999998E-2</c:v>
                </c:pt>
                <c:pt idx="9">
                  <c:v>0.106</c:v>
                </c:pt>
                <c:pt idx="10">
                  <c:v>0.1162</c:v>
                </c:pt>
                <c:pt idx="11">
                  <c:v>0.1231</c:v>
                </c:pt>
                <c:pt idx="12">
                  <c:v>0.1326</c:v>
                </c:pt>
                <c:pt idx="13">
                  <c:v>0.1391</c:v>
                </c:pt>
                <c:pt idx="14">
                  <c:v>0.14799999999999999</c:v>
                </c:pt>
                <c:pt idx="15">
                  <c:v>0.15429999999999999</c:v>
                </c:pt>
                <c:pt idx="16">
                  <c:v>0.16270000000000001</c:v>
                </c:pt>
                <c:pt idx="17">
                  <c:v>0.16839999999999999</c:v>
                </c:pt>
                <c:pt idx="18">
                  <c:v>0.17630000000000001</c:v>
                </c:pt>
              </c:numCache>
            </c:numRef>
          </c:xVal>
          <c:yVal>
            <c:numRef>
              <c:f>FreeFall!$B$2:$B$20</c:f>
              <c:numCache>
                <c:formatCode>##0.0000</c:formatCode>
                <c:ptCount val="19"/>
                <c:pt idx="0">
                  <c:v>0</c:v>
                </c:pt>
                <c:pt idx="1">
                  <c:v>1.9300000000000001E-2</c:v>
                </c:pt>
                <c:pt idx="2">
                  <c:v>3.8600000000000002E-2</c:v>
                </c:pt>
                <c:pt idx="3">
                  <c:v>5.79E-2</c:v>
                </c:pt>
                <c:pt idx="4">
                  <c:v>7.7200000000000005E-2</c:v>
                </c:pt>
                <c:pt idx="5">
                  <c:v>9.6500000000000002E-2</c:v>
                </c:pt>
                <c:pt idx="6">
                  <c:v>0.1158</c:v>
                </c:pt>
                <c:pt idx="7">
                  <c:v>0.1351</c:v>
                </c:pt>
                <c:pt idx="8">
                  <c:v>0.15440000000000001</c:v>
                </c:pt>
                <c:pt idx="9">
                  <c:v>0.17369999999999999</c:v>
                </c:pt>
                <c:pt idx="10">
                  <c:v>0.193</c:v>
                </c:pt>
                <c:pt idx="11">
                  <c:v>0.21229999999999999</c:v>
                </c:pt>
                <c:pt idx="12">
                  <c:v>0.2316</c:v>
                </c:pt>
                <c:pt idx="13">
                  <c:v>0.25090000000000001</c:v>
                </c:pt>
                <c:pt idx="14">
                  <c:v>0.2702</c:v>
                </c:pt>
                <c:pt idx="15">
                  <c:v>0.28949999999999998</c:v>
                </c:pt>
                <c:pt idx="16">
                  <c:v>0.30880000000000002</c:v>
                </c:pt>
                <c:pt idx="17">
                  <c:v>0.3281</c:v>
                </c:pt>
                <c:pt idx="18">
                  <c:v>0.34739999999999999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E9-405C-B4EE-788FBB26A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84224"/>
        <c:axId val="346270648"/>
      </c:scatterChart>
      <c:valAx>
        <c:axId val="341284224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ysClr val="windowText" lastClr="000000"/>
                    </a:solidFill>
                  </a:rPr>
                  <a:t>t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6270648"/>
        <c:crosses val="autoZero"/>
        <c:crossBetween val="midCat"/>
      </c:valAx>
      <c:valAx>
        <c:axId val="34627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 b="1" i="0" u="none" strike="noStrike" kern="1200" baseline="0">
                    <a:solidFill>
                      <a:sysClr val="windowText" lastClr="000000"/>
                    </a:solidFill>
                  </a:rPr>
                  <a:t>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2842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99579448342006"/>
          <c:y val="3.5386912842791211E-2"/>
          <c:w val="0.7349298023226154"/>
          <c:h val="0.80136397490572553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2857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0"/>
            <c:dispEq val="0"/>
          </c:trendline>
          <c:xVal>
            <c:numRef>
              <c:f>FreeFall!$C$2:$C$20</c:f>
              <c:numCache>
                <c:formatCode>##0.0000</c:formatCode>
                <c:ptCount val="19"/>
                <c:pt idx="0">
                  <c:v>0</c:v>
                </c:pt>
                <c:pt idx="1">
                  <c:v>1.32E-2</c:v>
                </c:pt>
                <c:pt idx="2">
                  <c:v>0.03</c:v>
                </c:pt>
                <c:pt idx="3">
                  <c:v>4.0300000000000002E-2</c:v>
                </c:pt>
                <c:pt idx="4">
                  <c:v>5.4199999999999998E-2</c:v>
                </c:pt>
                <c:pt idx="5">
                  <c:v>6.3399999999999998E-2</c:v>
                </c:pt>
                <c:pt idx="6">
                  <c:v>7.5499999999999998E-2</c:v>
                </c:pt>
                <c:pt idx="7">
                  <c:v>8.3699999999999997E-2</c:v>
                </c:pt>
                <c:pt idx="8">
                  <c:v>9.4600000000000004E-2</c:v>
                </c:pt>
                <c:pt idx="9">
                  <c:v>0.1021</c:v>
                </c:pt>
                <c:pt idx="10">
                  <c:v>0.11219999999999999</c:v>
                </c:pt>
                <c:pt idx="11">
                  <c:v>0.1192</c:v>
                </c:pt>
                <c:pt idx="12" formatCode="General">
                  <c:v>0.1283</c:v>
                </c:pt>
                <c:pt idx="13">
                  <c:v>0.1348</c:v>
                </c:pt>
                <c:pt idx="14">
                  <c:v>0.14360000000000001</c:v>
                </c:pt>
                <c:pt idx="15">
                  <c:v>0.1497</c:v>
                </c:pt>
                <c:pt idx="16">
                  <c:v>0.158</c:v>
                </c:pt>
                <c:pt idx="17">
                  <c:v>0.16370000000000001</c:v>
                </c:pt>
                <c:pt idx="18">
                  <c:v>0.17150000000000001</c:v>
                </c:pt>
              </c:numCache>
            </c:numRef>
          </c:xVal>
          <c:yVal>
            <c:numRef>
              <c:f>FreeFall!$D$2:$D$20</c:f>
              <c:numCache>
                <c:formatCode>##0.0000</c:formatCode>
                <c:ptCount val="19"/>
                <c:pt idx="0">
                  <c:v>0</c:v>
                </c:pt>
                <c:pt idx="1">
                  <c:v>1.9300000000000001E-2</c:v>
                </c:pt>
                <c:pt idx="2">
                  <c:v>3.8600000000000002E-2</c:v>
                </c:pt>
                <c:pt idx="3">
                  <c:v>5.79E-2</c:v>
                </c:pt>
                <c:pt idx="4">
                  <c:v>7.7200000000000005E-2</c:v>
                </c:pt>
                <c:pt idx="5">
                  <c:v>9.6500000000000002E-2</c:v>
                </c:pt>
                <c:pt idx="6">
                  <c:v>0.1158</c:v>
                </c:pt>
                <c:pt idx="7">
                  <c:v>0.1351</c:v>
                </c:pt>
                <c:pt idx="8">
                  <c:v>0.15440000000000001</c:v>
                </c:pt>
                <c:pt idx="9">
                  <c:v>0.17369999999999999</c:v>
                </c:pt>
                <c:pt idx="10">
                  <c:v>0.193</c:v>
                </c:pt>
                <c:pt idx="11">
                  <c:v>0.21229999999999999</c:v>
                </c:pt>
                <c:pt idx="12">
                  <c:v>0.2316</c:v>
                </c:pt>
                <c:pt idx="13">
                  <c:v>0.25090000000000001</c:v>
                </c:pt>
                <c:pt idx="14">
                  <c:v>0.2702</c:v>
                </c:pt>
                <c:pt idx="15">
                  <c:v>0.28949999999999998</c:v>
                </c:pt>
                <c:pt idx="16">
                  <c:v>0.30880000000000002</c:v>
                </c:pt>
                <c:pt idx="17">
                  <c:v>0.3281</c:v>
                </c:pt>
                <c:pt idx="18">
                  <c:v>0.34739999999999999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6-44F3-B277-23400CD57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250112"/>
        <c:axId val="339523616"/>
      </c:scatterChart>
      <c:valAx>
        <c:axId val="43425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 b="1">
                    <a:solidFill>
                      <a:sysClr val="windowText" lastClr="000000"/>
                    </a:solidFill>
                  </a:rPr>
                  <a:t>t</a:t>
                </a:r>
                <a:r>
                  <a:rPr lang="pt-BR" sz="1600" b="1" baseline="0">
                    <a:solidFill>
                      <a:sysClr val="windowText" lastClr="000000"/>
                    </a:solidFill>
                  </a:rPr>
                  <a:t> (s)</a:t>
                </a:r>
                <a:endParaRPr lang="pt-BR" sz="16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523616"/>
        <c:crosses val="autoZero"/>
        <c:crossBetween val="midCat"/>
      </c:valAx>
      <c:valAx>
        <c:axId val="33952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 b="1">
                    <a:solidFill>
                      <a:sysClr val="windowText" lastClr="000000"/>
                    </a:solidFill>
                  </a:rPr>
                  <a:t>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425011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ysDash"/>
              <a:round/>
            </a:ln>
            <a:effectLst/>
          </c:spPr>
          <c:marker>
            <c:symbol val="circle"/>
            <c:size val="10"/>
            <c:spPr>
              <a:noFill/>
              <a:ln w="31750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g!$D$2:$D$20</c:f>
              <c:numCache>
                <c:formatCode>0.00</c:formatCode>
                <c:ptCount val="19"/>
                <c:pt idx="0">
                  <c:v>0</c:v>
                </c:pt>
                <c:pt idx="1">
                  <c:v>1.32E-2</c:v>
                </c:pt>
                <c:pt idx="2">
                  <c:v>0.03</c:v>
                </c:pt>
                <c:pt idx="3">
                  <c:v>4.0300000000000002E-2</c:v>
                </c:pt>
                <c:pt idx="4">
                  <c:v>5.4199999999999998E-2</c:v>
                </c:pt>
                <c:pt idx="5">
                  <c:v>6.3399999999999998E-2</c:v>
                </c:pt>
                <c:pt idx="6">
                  <c:v>7.5499999999999998E-2</c:v>
                </c:pt>
                <c:pt idx="7">
                  <c:v>8.3699999999999997E-2</c:v>
                </c:pt>
                <c:pt idx="8">
                  <c:v>9.4600000000000004E-2</c:v>
                </c:pt>
                <c:pt idx="9">
                  <c:v>0.1021</c:v>
                </c:pt>
                <c:pt idx="10">
                  <c:v>0.11219999999999999</c:v>
                </c:pt>
                <c:pt idx="11">
                  <c:v>0.1192</c:v>
                </c:pt>
                <c:pt idx="12">
                  <c:v>0.1283</c:v>
                </c:pt>
                <c:pt idx="13">
                  <c:v>0.1348</c:v>
                </c:pt>
                <c:pt idx="14">
                  <c:v>0.14360000000000001</c:v>
                </c:pt>
                <c:pt idx="15">
                  <c:v>0.1497</c:v>
                </c:pt>
                <c:pt idx="16">
                  <c:v>0.158</c:v>
                </c:pt>
                <c:pt idx="17">
                  <c:v>0.16370000000000001</c:v>
                </c:pt>
                <c:pt idx="18">
                  <c:v>0.17150000000000001</c:v>
                </c:pt>
              </c:numCache>
            </c:numRef>
          </c:xVal>
          <c:yVal>
            <c:numRef>
              <c:f>g!$F$2:$F$20</c:f>
              <c:numCache>
                <c:formatCode>0.00</c:formatCode>
                <c:ptCount val="19"/>
                <c:pt idx="0">
                  <c:v>1.1840838244820062</c:v>
                </c:pt>
                <c:pt idx="1">
                  <c:v>1.3143299890021718</c:v>
                </c:pt>
                <c:pt idx="2">
                  <c:v>1.4800978347551099</c:v>
                </c:pt>
                <c:pt idx="3">
                  <c:v>1.5817293116155424</c:v>
                </c:pt>
                <c:pt idx="4">
                  <c:v>1.718882469708747</c:v>
                </c:pt>
                <c:pt idx="5">
                  <c:v>1.8096600995258321</c:v>
                </c:pt>
                <c:pt idx="6">
                  <c:v>1.9290524170026506</c:v>
                </c:pt>
                <c:pt idx="7">
                  <c:v>2.0099629131439656</c:v>
                </c:pt>
                <c:pt idx="8">
                  <c:v>2.11751467020986</c:v>
                </c:pt>
                <c:pt idx="9">
                  <c:v>2.1915181727781361</c:v>
                </c:pt>
                <c:pt idx="10">
                  <c:v>2.2911762229034141</c:v>
                </c:pt>
                <c:pt idx="11">
                  <c:v>2.3602461586338048</c:v>
                </c:pt>
                <c:pt idx="12">
                  <c:v>2.4500370750833129</c:v>
                </c:pt>
                <c:pt idx="13">
                  <c:v>2.5141734439758192</c:v>
                </c:pt>
                <c:pt idx="14">
                  <c:v>2.6010042203225963</c:v>
                </c:pt>
                <c:pt idx="15">
                  <c:v>2.6611937357447939</c:v>
                </c:pt>
                <c:pt idx="16">
                  <c:v>2.743090945253686</c:v>
                </c:pt>
                <c:pt idx="17">
                  <c:v>2.7993336072055759</c:v>
                </c:pt>
                <c:pt idx="18">
                  <c:v>2.8762972498765826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E1-4BF0-B930-B1F160CA1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062703"/>
        <c:axId val="1810068463"/>
      </c:scatterChart>
      <c:valAx>
        <c:axId val="1810062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 i="0" u="none" strike="noStrike" kern="1200" baseline="0">
                    <a:solidFill>
                      <a:schemeClr val="tx1"/>
                    </a:solidFill>
                  </a:rPr>
                  <a:t>t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0068463"/>
        <c:crosses val="autoZero"/>
        <c:crossBetween val="midCat"/>
      </c:valAx>
      <c:valAx>
        <c:axId val="18100684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i="0" u="none" strike="noStrike" kern="1200" baseline="0">
                    <a:solidFill>
                      <a:schemeClr val="tx1"/>
                    </a:solidFill>
                  </a:rPr>
                  <a:t>v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0062703"/>
        <c:crosses val="autoZero"/>
        <c:crossBetween val="midCat"/>
      </c:valAx>
      <c:spPr>
        <a:noFill/>
        <a:ln>
          <a:solidFill>
            <a:srgbClr val="FF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noFill/>
              <a:ln w="19050">
                <a:solidFill>
                  <a:srgbClr val="0000FF"/>
                </a:solidFill>
              </a:ln>
              <a:effectLst/>
            </c:spPr>
          </c:marker>
          <c:dPt>
            <c:idx val="1"/>
            <c:marker>
              <c:symbol val="circle"/>
              <c:size val="10"/>
              <c:spPr>
                <a:noFill/>
                <a:ln w="19050">
                  <a:solidFill>
                    <a:srgbClr val="0000FF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E3A-4D54-9F5B-7E36A7F8A08A}"/>
              </c:ext>
            </c:extLst>
          </c:dPt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rgbClr val="0000FF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g!$A$2:$A$20</c:f>
              <c:numCache>
                <c:formatCode>0.00</c:formatCode>
                <c:ptCount val="19"/>
                <c:pt idx="0">
                  <c:v>0</c:v>
                </c:pt>
                <c:pt idx="1">
                  <c:v>1.43E-2</c:v>
                </c:pt>
                <c:pt idx="2">
                  <c:v>3.1600000000000003E-2</c:v>
                </c:pt>
                <c:pt idx="3">
                  <c:v>4.2700000000000002E-2</c:v>
                </c:pt>
                <c:pt idx="4">
                  <c:v>5.7000000000000002E-2</c:v>
                </c:pt>
                <c:pt idx="5">
                  <c:v>6.6400000000000001E-2</c:v>
                </c:pt>
                <c:pt idx="6">
                  <c:v>7.8700000000000006E-2</c:v>
                </c:pt>
                <c:pt idx="7">
                  <c:v>8.7099999999999997E-2</c:v>
                </c:pt>
                <c:pt idx="8">
                  <c:v>9.8299999999999998E-2</c:v>
                </c:pt>
                <c:pt idx="9">
                  <c:v>0.106</c:v>
                </c:pt>
                <c:pt idx="10">
                  <c:v>0.1162</c:v>
                </c:pt>
                <c:pt idx="11">
                  <c:v>0.1231</c:v>
                </c:pt>
                <c:pt idx="12">
                  <c:v>0.1326</c:v>
                </c:pt>
                <c:pt idx="13">
                  <c:v>0.1391</c:v>
                </c:pt>
                <c:pt idx="14">
                  <c:v>0.14799999999999999</c:v>
                </c:pt>
                <c:pt idx="15">
                  <c:v>0.15429999999999999</c:v>
                </c:pt>
                <c:pt idx="16">
                  <c:v>0.16270000000000001</c:v>
                </c:pt>
                <c:pt idx="17">
                  <c:v>0.16839999999999999</c:v>
                </c:pt>
                <c:pt idx="18">
                  <c:v>0.17630000000000001</c:v>
                </c:pt>
              </c:numCache>
            </c:numRef>
          </c:xVal>
          <c:yVal>
            <c:numRef>
              <c:f>g!$C$2:$C$20</c:f>
              <c:numCache>
                <c:formatCode>0.00</c:formatCode>
                <c:ptCount val="19"/>
                <c:pt idx="0">
                  <c:v>1.1020711200207733</c:v>
                </c:pt>
                <c:pt idx="1">
                  <c:v>1.2437273485591116</c:v>
                </c:pt>
                <c:pt idx="2">
                  <c:v>1.415101667000598</c:v>
                </c:pt>
                <c:pt idx="3">
                  <c:v>1.5250585996422452</c:v>
                </c:pt>
                <c:pt idx="4">
                  <c:v>1.6667148281805835</c:v>
                </c:pt>
                <c:pt idx="5">
                  <c:v>1.7598315098771136</c:v>
                </c:pt>
                <c:pt idx="6">
                  <c:v>1.8816756784800202</c:v>
                </c:pt>
                <c:pt idx="7">
                  <c:v>1.964886330208834</c:v>
                </c:pt>
                <c:pt idx="8">
                  <c:v>2.0758338658472528</c:v>
                </c:pt>
                <c:pt idx="9">
                  <c:v>2.152110296598666</c:v>
                </c:pt>
                <c:pt idx="10">
                  <c:v>2.2531518022693691</c:v>
                </c:pt>
                <c:pt idx="11">
                  <c:v>2.3215034090466089</c:v>
                </c:pt>
                <c:pt idx="12">
                  <c:v>2.4156106937399109</c:v>
                </c:pt>
                <c:pt idx="13">
                  <c:v>2.4799998885300645</c:v>
                </c:pt>
                <c:pt idx="14">
                  <c:v>2.5681635552427364</c:v>
                </c:pt>
                <c:pt idx="15">
                  <c:v>2.6305715440393471</c:v>
                </c:pt>
                <c:pt idx="16">
                  <c:v>2.7137821957681614</c:v>
                </c:pt>
                <c:pt idx="17">
                  <c:v>2.7702465665841425</c:v>
                </c:pt>
                <c:pt idx="18">
                  <c:v>2.8485042033290986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9-4433-839A-47F401FC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067503"/>
        <c:axId val="1810058383"/>
      </c:scatterChart>
      <c:valAx>
        <c:axId val="1810067503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 baseline="0">
                    <a:solidFill>
                      <a:schemeClr val="tx1"/>
                    </a:solidFill>
                  </a:rPr>
                  <a:t>t (s)</a:t>
                </a:r>
                <a:endParaRPr lang="pt-BR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0058383"/>
        <c:crosses val="autoZero"/>
        <c:crossBetween val="midCat"/>
      </c:valAx>
      <c:valAx>
        <c:axId val="18100583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chemeClr val="tx1"/>
                    </a:solidFill>
                  </a:rPr>
                  <a:t>v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0067503"/>
        <c:crosses val="autoZero"/>
        <c:crossBetween val="midCat"/>
      </c:valAx>
      <c:spPr>
        <a:noFill/>
        <a:ln>
          <a:solidFill>
            <a:srgbClr val="0000FF"/>
          </a:solidFill>
          <a:prstDash val="solid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83606</xdr:colOff>
      <xdr:row>2</xdr:row>
      <xdr:rowOff>51859</xdr:rowOff>
    </xdr:from>
    <xdr:to>
      <xdr:col>13</xdr:col>
      <xdr:colOff>465665</xdr:colOff>
      <xdr:row>21</xdr:row>
      <xdr:rowOff>38101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9B7BA9-8295-AC23-BF71-CD29DF1104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430985</xdr:colOff>
      <xdr:row>2</xdr:row>
      <xdr:rowOff>40166</xdr:rowOff>
    </xdr:from>
    <xdr:to>
      <xdr:col>23</xdr:col>
      <xdr:colOff>335736</xdr:colOff>
      <xdr:row>21</xdr:row>
      <xdr:rowOff>40167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6883E1A-35EC-5A52-CC52-CB2014F82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201083</xdr:colOff>
      <xdr:row>21</xdr:row>
      <xdr:rowOff>10584</xdr:rowOff>
    </xdr:from>
    <xdr:to>
      <xdr:col>2</xdr:col>
      <xdr:colOff>275167</xdr:colOff>
      <xdr:row>21</xdr:row>
      <xdr:rowOff>338668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E5DDA58-B624-BC3C-966E-F20844C57BFF}"/>
            </a:ext>
          </a:extLst>
        </xdr:cNvPr>
        <xdr:cNvSpPr txBox="1"/>
      </xdr:nvSpPr>
      <xdr:spPr>
        <a:xfrm>
          <a:off x="285750" y="4307417"/>
          <a:ext cx="1608667" cy="328084"/>
        </a:xfrm>
        <a:prstGeom prst="rect">
          <a:avLst/>
        </a:prstGeom>
        <a:solidFill>
          <a:srgbClr val="0000FF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>
            <a:solidFill>
              <a:srgbClr val="0000FF"/>
            </a:solidFill>
          </a:endParaRPr>
        </a:p>
      </xdr:txBody>
    </xdr:sp>
    <xdr:clientData/>
  </xdr:twoCellAnchor>
  <xdr:twoCellAnchor>
    <xdr:from>
      <xdr:col>0</xdr:col>
      <xdr:colOff>194731</xdr:colOff>
      <xdr:row>23</xdr:row>
      <xdr:rowOff>4233</xdr:rowOff>
    </xdr:from>
    <xdr:to>
      <xdr:col>2</xdr:col>
      <xdr:colOff>268815</xdr:colOff>
      <xdr:row>23</xdr:row>
      <xdr:rowOff>289983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A07F8D5-E682-4A2A-A642-80E2F6881778}"/>
            </a:ext>
          </a:extLst>
        </xdr:cNvPr>
        <xdr:cNvSpPr txBox="1"/>
      </xdr:nvSpPr>
      <xdr:spPr>
        <a:xfrm>
          <a:off x="279398" y="4745566"/>
          <a:ext cx="1608667" cy="285750"/>
        </a:xfrm>
        <a:prstGeom prst="rect">
          <a:avLst/>
        </a:prstGeom>
        <a:solidFill>
          <a:srgbClr val="FF0000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194734</xdr:colOff>
      <xdr:row>25</xdr:row>
      <xdr:rowOff>6350</xdr:rowOff>
    </xdr:from>
    <xdr:to>
      <xdr:col>2</xdr:col>
      <xdr:colOff>391584</xdr:colOff>
      <xdr:row>26</xdr:row>
      <xdr:rowOff>25401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BE981F8D-FEB8-46BD-A147-3A8936219F31}"/>
            </a:ext>
          </a:extLst>
        </xdr:cNvPr>
        <xdr:cNvSpPr txBox="1"/>
      </xdr:nvSpPr>
      <xdr:spPr>
        <a:xfrm>
          <a:off x="194734" y="5012267"/>
          <a:ext cx="1879600" cy="283634"/>
        </a:xfrm>
        <a:prstGeom prst="rect">
          <a:avLst/>
        </a:prstGeom>
        <a:solidFill>
          <a:schemeClr val="bg2">
            <a:lumMod val="50000"/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18</xdr:col>
      <xdr:colOff>28575</xdr:colOff>
      <xdr:row>3</xdr:row>
      <xdr:rowOff>9525</xdr:rowOff>
    </xdr:from>
    <xdr:to>
      <xdr:col>20</xdr:col>
      <xdr:colOff>581025</xdr:colOff>
      <xdr:row>4</xdr:row>
      <xdr:rowOff>131004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34B41715-BF07-4F01-B15B-ED37D43C207A}"/>
            </a:ext>
          </a:extLst>
        </xdr:cNvPr>
        <xdr:cNvSpPr txBox="1"/>
      </xdr:nvSpPr>
      <xdr:spPr>
        <a:xfrm>
          <a:off x="9144000" y="876300"/>
          <a:ext cx="962025" cy="3500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rgbClr val="FF0000"/>
              </a:solidFill>
            </a:rPr>
            <a:t> M= 200g</a:t>
          </a:r>
        </a:p>
      </xdr:txBody>
    </xdr:sp>
    <xdr:clientData/>
  </xdr:twoCellAnchor>
  <xdr:twoCellAnchor>
    <xdr:from>
      <xdr:col>10</xdr:col>
      <xdr:colOff>35755</xdr:colOff>
      <xdr:row>3</xdr:row>
      <xdr:rowOff>88348</xdr:rowOff>
    </xdr:from>
    <xdr:to>
      <xdr:col>12</xdr:col>
      <xdr:colOff>285750</xdr:colOff>
      <xdr:row>4</xdr:row>
      <xdr:rowOff>187739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855213D1-BCDA-A12E-BD1D-F10C0EA927DF}"/>
            </a:ext>
          </a:extLst>
        </xdr:cNvPr>
        <xdr:cNvSpPr txBox="1"/>
      </xdr:nvSpPr>
      <xdr:spPr>
        <a:xfrm>
          <a:off x="5350705" y="955123"/>
          <a:ext cx="907220" cy="3279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m=100g</a:t>
          </a:r>
          <a:endParaRPr lang="pt-BR" sz="1600">
            <a:solidFill>
              <a:srgbClr val="0000FF"/>
            </a:solidFill>
            <a:effectLst/>
          </a:endParaRPr>
        </a:p>
        <a:p>
          <a:endParaRPr lang="pt-BR" sz="1600">
            <a:solidFill>
              <a:srgbClr val="0000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508917</xdr:colOff>
      <xdr:row>1</xdr:row>
      <xdr:rowOff>78145</xdr:rowOff>
    </xdr:from>
    <xdr:to>
      <xdr:col>21</xdr:col>
      <xdr:colOff>255604</xdr:colOff>
      <xdr:row>21</xdr:row>
      <xdr:rowOff>108605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7E6078-2B34-2915-1832-D688A308B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203289</xdr:colOff>
      <xdr:row>1</xdr:row>
      <xdr:rowOff>71436</xdr:rowOff>
    </xdr:from>
    <xdr:to>
      <xdr:col>13</xdr:col>
      <xdr:colOff>546189</xdr:colOff>
      <xdr:row>21</xdr:row>
      <xdr:rowOff>102869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79C2797-D4DE-8BBB-B263-F380FAAA9B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198120</xdr:colOff>
      <xdr:row>2</xdr:row>
      <xdr:rowOff>91440</xdr:rowOff>
    </xdr:from>
    <xdr:to>
      <xdr:col>12</xdr:col>
      <xdr:colOff>213800</xdr:colOff>
      <xdr:row>3</xdr:row>
      <xdr:rowOff>221311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95474B1-27AC-4DD2-BF62-6190B29C0108}"/>
            </a:ext>
          </a:extLst>
        </xdr:cNvPr>
        <xdr:cNvSpPr txBox="1"/>
      </xdr:nvSpPr>
      <xdr:spPr>
        <a:xfrm>
          <a:off x="5867400" y="601980"/>
          <a:ext cx="907220" cy="3279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00FF"/>
              </a:solidFill>
              <a:effectLst/>
              <a:latin typeface="+mn-lt"/>
              <a:ea typeface="+mn-ea"/>
              <a:cs typeface="+mn-cs"/>
            </a:rPr>
            <a:t>m=100g</a:t>
          </a:r>
          <a:endParaRPr lang="pt-BR" sz="1600">
            <a:solidFill>
              <a:srgbClr val="0000FF"/>
            </a:solidFill>
            <a:effectLst/>
          </a:endParaRPr>
        </a:p>
        <a:p>
          <a:endParaRPr lang="pt-BR" sz="1600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1204079</xdr:colOff>
      <xdr:row>2</xdr:row>
      <xdr:rowOff>75722</xdr:rowOff>
    </xdr:from>
    <xdr:to>
      <xdr:col>20</xdr:col>
      <xdr:colOff>44824</xdr:colOff>
      <xdr:row>3</xdr:row>
      <xdr:rowOff>215153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225221D-6C6D-458E-A131-B42E8CE237FC}"/>
            </a:ext>
          </a:extLst>
        </xdr:cNvPr>
        <xdr:cNvSpPr txBox="1"/>
      </xdr:nvSpPr>
      <xdr:spPr>
        <a:xfrm>
          <a:off x="9595044" y="586710"/>
          <a:ext cx="1055027" cy="3366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rgbClr val="FF0000"/>
              </a:solidFill>
            </a:rPr>
            <a:t> M= 200g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A4835"/>
  <sheetViews>
    <sheetView showGridLines="0" showRowColHeaders="0" tabSelected="1" zoomScale="80" zoomScaleNormal="80" workbookViewId="0">
      <selection activeCell="Z7" sqref="Z7"/>
    </sheetView>
  </sheetViews>
  <sheetFormatPr defaultRowHeight="14.4"/>
  <cols>
    <col min="1" max="1" width="10.44140625" bestFit="1" customWidth="1"/>
    <col min="2" max="2" width="14.6640625" bestFit="1" customWidth="1"/>
    <col min="3" max="3" width="12" bestFit="1" customWidth="1"/>
    <col min="4" max="4" width="12" style="4" customWidth="1"/>
    <col min="5" max="5" width="13.6640625" customWidth="1"/>
    <col min="6" max="6" width="9.44140625" customWidth="1"/>
    <col min="7" max="7" width="0.109375" customWidth="1"/>
    <col min="8" max="8" width="0.33203125" hidden="1" customWidth="1"/>
    <col min="9" max="9" width="5.33203125" customWidth="1"/>
    <col min="10" max="10" width="0.6640625" hidden="1" customWidth="1"/>
    <col min="11" max="11" width="9.109375" customWidth="1"/>
    <col min="12" max="12" width="0.44140625" customWidth="1"/>
    <col min="13" max="13" width="12.5546875" bestFit="1" customWidth="1"/>
    <col min="15" max="15" width="15.33203125" customWidth="1"/>
    <col min="16" max="16" width="9.109375" customWidth="1"/>
    <col min="17" max="17" width="0.109375" hidden="1" customWidth="1"/>
    <col min="18" max="18" width="0.6640625" hidden="1" customWidth="1"/>
    <col min="19" max="19" width="6" customWidth="1"/>
    <col min="20" max="20" width="0.109375" hidden="1" customWidth="1"/>
    <col min="21" max="21" width="9.109375" customWidth="1"/>
    <col min="22" max="22" width="0.33203125" customWidth="1"/>
  </cols>
  <sheetData>
    <row r="1" spans="1:27" ht="27" customHeight="1">
      <c r="A1" s="34" t="s">
        <v>35</v>
      </c>
      <c r="B1" s="34" t="s">
        <v>36</v>
      </c>
      <c r="C1" s="34" t="s">
        <v>35</v>
      </c>
      <c r="D1" s="34" t="s">
        <v>36</v>
      </c>
    </row>
    <row r="2" spans="1:27" ht="23.4">
      <c r="A2" s="35">
        <v>0</v>
      </c>
      <c r="B2" s="36">
        <v>0</v>
      </c>
      <c r="C2" s="37">
        <v>0</v>
      </c>
      <c r="D2" s="38">
        <v>0</v>
      </c>
      <c r="E2" s="27" t="s">
        <v>29</v>
      </c>
      <c r="F2" s="45" cm="1">
        <f t="array" ref="F2:H2">LINEST(B2:B20,A2:A20^{1,2},FALSE,FALSE)</f>
        <v>4.953014983857984</v>
      </c>
      <c r="G2" s="21">
        <v>1.1020711200207733</v>
      </c>
      <c r="H2" s="21">
        <v>0</v>
      </c>
      <c r="I2" s="21" t="s">
        <v>27</v>
      </c>
      <c r="J2" s="21" cm="1">
        <f t="array" ref="J2:L2">LINEST(B2:B20,A2:A20^{1,2},FALSE,FALSE)</f>
        <v>4.953014983857984</v>
      </c>
      <c r="K2" s="45">
        <v>1.1020711200207733</v>
      </c>
      <c r="L2" s="21">
        <v>0</v>
      </c>
      <c r="M2" s="21" t="s">
        <v>26</v>
      </c>
      <c r="O2" s="28" t="s">
        <v>30</v>
      </c>
      <c r="P2" s="46" cm="1">
        <f t="array" ref="P2:R2">LINEST(D2:D20,C2:C20^{1,2},FALSE,FALSE)</f>
        <v>4.9335668378850626</v>
      </c>
      <c r="Q2" s="22">
        <v>1.1840838244820062</v>
      </c>
      <c r="R2" s="22">
        <v>0</v>
      </c>
      <c r="S2" s="22" t="s">
        <v>28</v>
      </c>
      <c r="T2" s="22" cm="1">
        <f t="array" ref="T2:V2">LINEST(D2:D20,C2:C20^{1,2},FALSE,FALSE)</f>
        <v>4.9335668378850626</v>
      </c>
      <c r="U2" s="47">
        <v>1.1840838244820062</v>
      </c>
      <c r="V2" s="22">
        <v>0</v>
      </c>
      <c r="W2" s="22" t="s">
        <v>26</v>
      </c>
      <c r="Z2" s="23"/>
      <c r="AA2" s="25"/>
    </row>
    <row r="3" spans="1:27" ht="18">
      <c r="A3" s="35">
        <v>1.43E-2</v>
      </c>
      <c r="B3" s="36">
        <v>1.9300000000000001E-2</v>
      </c>
      <c r="C3" s="37">
        <v>1.32E-2</v>
      </c>
      <c r="D3" s="39">
        <v>1.9300000000000001E-2</v>
      </c>
      <c r="J3" s="10"/>
      <c r="S3" s="8"/>
      <c r="Z3" s="23"/>
      <c r="AA3" s="25"/>
    </row>
    <row r="4" spans="1:27" ht="18">
      <c r="A4" s="35">
        <v>3.1600000000000003E-2</v>
      </c>
      <c r="B4" s="36">
        <v>3.8600000000000002E-2</v>
      </c>
      <c r="C4" s="37">
        <v>0.03</v>
      </c>
      <c r="D4" s="39">
        <v>3.8600000000000002E-2</v>
      </c>
      <c r="S4" s="8"/>
      <c r="Z4" s="23"/>
      <c r="AA4" s="25"/>
    </row>
    <row r="5" spans="1:27" ht="18">
      <c r="A5" s="35">
        <v>4.2700000000000002E-2</v>
      </c>
      <c r="B5" s="36">
        <v>5.79E-2</v>
      </c>
      <c r="C5" s="37">
        <v>4.0300000000000002E-2</v>
      </c>
      <c r="D5" s="39">
        <v>5.79E-2</v>
      </c>
      <c r="S5" s="8"/>
      <c r="Z5" s="23"/>
      <c r="AA5" s="25"/>
    </row>
    <row r="6" spans="1:27" ht="18">
      <c r="A6" s="35">
        <v>5.7000000000000002E-2</v>
      </c>
      <c r="B6" s="36">
        <v>7.7200000000000005E-2</v>
      </c>
      <c r="C6" s="37">
        <v>5.4199999999999998E-2</v>
      </c>
      <c r="D6" s="39">
        <v>7.7200000000000005E-2</v>
      </c>
      <c r="S6" s="8"/>
      <c r="Z6" s="23"/>
      <c r="AA6" s="25"/>
    </row>
    <row r="7" spans="1:27" ht="21">
      <c r="A7" s="35">
        <v>6.6400000000000001E-2</v>
      </c>
      <c r="B7" s="36">
        <v>9.6500000000000002E-2</v>
      </c>
      <c r="C7" s="37">
        <v>6.3399999999999998E-2</v>
      </c>
      <c r="D7" s="39">
        <v>9.6500000000000002E-2</v>
      </c>
      <c r="P7" s="7"/>
      <c r="Q7" s="7"/>
      <c r="R7" s="7"/>
      <c r="S7" s="8"/>
      <c r="Z7" s="23"/>
      <c r="AA7" s="25"/>
    </row>
    <row r="8" spans="1:27" ht="18">
      <c r="A8" s="35">
        <v>7.8700000000000006E-2</v>
      </c>
      <c r="B8" s="36">
        <v>0.1158</v>
      </c>
      <c r="C8" s="37">
        <v>7.5499999999999998E-2</v>
      </c>
      <c r="D8" s="39">
        <v>0.1158</v>
      </c>
      <c r="S8" s="8"/>
      <c r="Z8" s="23"/>
      <c r="AA8" s="25"/>
    </row>
    <row r="9" spans="1:27" ht="18">
      <c r="A9" s="35">
        <v>8.7099999999999997E-2</v>
      </c>
      <c r="B9" s="36">
        <v>0.1351</v>
      </c>
      <c r="C9" s="37">
        <v>8.3699999999999997E-2</v>
      </c>
      <c r="D9" s="39">
        <v>0.1351</v>
      </c>
      <c r="S9" s="8"/>
      <c r="Z9" s="23"/>
      <c r="AA9" s="25"/>
    </row>
    <row r="10" spans="1:27" ht="18">
      <c r="A10" s="35">
        <v>9.8299999999999998E-2</v>
      </c>
      <c r="B10" s="36">
        <v>0.15440000000000001</v>
      </c>
      <c r="C10" s="37">
        <v>9.4600000000000004E-2</v>
      </c>
      <c r="D10" s="39">
        <v>0.15440000000000001</v>
      </c>
      <c r="S10" s="8"/>
      <c r="Z10" s="23"/>
      <c r="AA10" s="25"/>
    </row>
    <row r="11" spans="1:27" ht="18">
      <c r="A11" s="35">
        <v>0.106</v>
      </c>
      <c r="B11" s="36">
        <v>0.17369999999999999</v>
      </c>
      <c r="C11" s="37">
        <v>0.1021</v>
      </c>
      <c r="D11" s="39">
        <v>0.17369999999999999</v>
      </c>
      <c r="S11" s="8"/>
      <c r="Z11" s="23"/>
      <c r="AA11" s="25"/>
    </row>
    <row r="12" spans="1:27" ht="18">
      <c r="A12" s="35">
        <v>0.1162</v>
      </c>
      <c r="B12" s="36">
        <v>0.193</v>
      </c>
      <c r="C12" s="37">
        <v>0.11219999999999999</v>
      </c>
      <c r="D12" s="39">
        <v>0.193</v>
      </c>
      <c r="S12" s="8"/>
      <c r="Z12" s="23"/>
      <c r="AA12" s="25"/>
    </row>
    <row r="13" spans="1:27" ht="18">
      <c r="A13" s="35">
        <v>0.1231</v>
      </c>
      <c r="B13" s="36">
        <v>0.21229999999999999</v>
      </c>
      <c r="C13" s="37">
        <v>0.1192</v>
      </c>
      <c r="D13" s="39">
        <v>0.21229999999999999</v>
      </c>
      <c r="S13" s="8"/>
      <c r="Z13" s="23"/>
      <c r="AA13" s="25"/>
    </row>
    <row r="14" spans="1:27" ht="18">
      <c r="A14" s="35">
        <v>0.1326</v>
      </c>
      <c r="B14" s="36">
        <v>0.2316</v>
      </c>
      <c r="C14" s="40">
        <v>0.1283</v>
      </c>
      <c r="D14" s="39">
        <v>0.2316</v>
      </c>
      <c r="S14" s="8"/>
      <c r="Z14" s="23"/>
      <c r="AA14" s="25"/>
    </row>
    <row r="15" spans="1:27" ht="18">
      <c r="A15" s="35">
        <v>0.1391</v>
      </c>
      <c r="B15" s="36">
        <v>0.25090000000000001</v>
      </c>
      <c r="C15" s="37">
        <v>0.1348</v>
      </c>
      <c r="D15" s="39">
        <v>0.25090000000000001</v>
      </c>
      <c r="S15" s="8"/>
      <c r="Z15" s="23"/>
      <c r="AA15" s="25"/>
    </row>
    <row r="16" spans="1:27" ht="18">
      <c r="A16" s="35">
        <v>0.14799999999999999</v>
      </c>
      <c r="B16" s="36">
        <v>0.2702</v>
      </c>
      <c r="C16" s="37">
        <v>0.14360000000000001</v>
      </c>
      <c r="D16" s="39">
        <v>0.2702</v>
      </c>
      <c r="S16" s="8"/>
      <c r="Z16" s="23"/>
      <c r="AA16" s="25"/>
    </row>
    <row r="17" spans="1:27" ht="18">
      <c r="A17" s="35">
        <v>0.15429999999999999</v>
      </c>
      <c r="B17" s="36">
        <v>0.28949999999999998</v>
      </c>
      <c r="C17" s="37">
        <v>0.1497</v>
      </c>
      <c r="D17" s="39">
        <v>0.28949999999999998</v>
      </c>
      <c r="S17" s="8"/>
      <c r="Z17" s="23"/>
      <c r="AA17" s="25"/>
    </row>
    <row r="18" spans="1:27" ht="18">
      <c r="A18" s="35">
        <v>0.16270000000000001</v>
      </c>
      <c r="B18" s="36">
        <v>0.30880000000000002</v>
      </c>
      <c r="C18" s="37">
        <v>0.158</v>
      </c>
      <c r="D18" s="39">
        <v>0.30880000000000002</v>
      </c>
      <c r="S18" s="8"/>
      <c r="Z18" s="26"/>
      <c r="AA18" s="25"/>
    </row>
    <row r="19" spans="1:27" ht="18">
      <c r="A19" s="35">
        <v>0.16839999999999999</v>
      </c>
      <c r="B19" s="36">
        <v>0.3281</v>
      </c>
      <c r="C19" s="37">
        <v>0.16370000000000001</v>
      </c>
      <c r="D19" s="39">
        <v>0.3281</v>
      </c>
      <c r="S19" s="8"/>
      <c r="Z19" s="23"/>
      <c r="AA19" s="25"/>
    </row>
    <row r="20" spans="1:27" ht="18.600000000000001" thickBot="1">
      <c r="A20" s="41">
        <v>0.17630000000000001</v>
      </c>
      <c r="B20" s="42">
        <v>0.34739999999999999</v>
      </c>
      <c r="C20" s="43">
        <v>0.17150000000000001</v>
      </c>
      <c r="D20" s="44">
        <v>0.34739999999999999</v>
      </c>
      <c r="S20" s="8"/>
      <c r="Z20" s="26"/>
      <c r="AA20" s="25"/>
    </row>
    <row r="21" spans="1:27" ht="4.5" customHeight="1">
      <c r="A21" s="5">
        <v>0.34739999999999999</v>
      </c>
      <c r="B21" s="5">
        <v>0</v>
      </c>
      <c r="C21" s="6">
        <v>0</v>
      </c>
      <c r="D21" s="4">
        <v>0</v>
      </c>
      <c r="E21" s="11"/>
      <c r="F21" s="12"/>
      <c r="G21" s="12"/>
      <c r="H21" s="12"/>
      <c r="I21" s="12"/>
    </row>
    <row r="22" spans="1:27" ht="27.75" customHeight="1">
      <c r="A22" s="13" t="s">
        <v>22</v>
      </c>
      <c r="B22" s="14">
        <f>A20-A2</f>
        <v>0.17630000000000001</v>
      </c>
      <c r="C22" s="15" t="s">
        <v>21</v>
      </c>
    </row>
    <row r="23" spans="1:27" ht="7.5" customHeight="1"/>
    <row r="24" spans="1:27" ht="24" customHeight="1">
      <c r="A24" s="17" t="s">
        <v>23</v>
      </c>
      <c r="B24" s="18">
        <f>C20-C2</f>
        <v>0.17150000000000001</v>
      </c>
      <c r="C24" s="19" t="s">
        <v>21</v>
      </c>
      <c r="E24" s="24"/>
      <c r="F24" s="23"/>
    </row>
    <row r="25" spans="1:27" ht="4.5" customHeight="1">
      <c r="A25" s="3"/>
    </row>
    <row r="26" spans="1:27" ht="21" customHeight="1">
      <c r="A26" s="20" t="s">
        <v>25</v>
      </c>
      <c r="B26" s="29">
        <f>(B22-B24)*1000</f>
        <v>4.7999999999999989</v>
      </c>
      <c r="C26" s="16" t="s">
        <v>24</v>
      </c>
    </row>
    <row r="27" spans="1:27">
      <c r="A27" s="3"/>
    </row>
    <row r="30" spans="1:27">
      <c r="A30" s="3"/>
    </row>
    <row r="32" spans="1:27">
      <c r="A32" s="3"/>
    </row>
    <row r="34" spans="1:2">
      <c r="A34" s="3"/>
    </row>
    <row r="37" spans="1:2">
      <c r="B37" s="3"/>
    </row>
    <row r="38" spans="1:2">
      <c r="A38" s="3"/>
    </row>
    <row r="42" spans="1:2">
      <c r="B42" s="3"/>
    </row>
    <row r="47" spans="1:2">
      <c r="A47" s="3"/>
    </row>
    <row r="48" spans="1:2">
      <c r="A48" s="3"/>
    </row>
    <row r="55" spans="1:1">
      <c r="A55" s="3"/>
    </row>
    <row r="60" spans="1:1">
      <c r="A60" s="3"/>
    </row>
    <row r="65" spans="1:2">
      <c r="B65" s="3"/>
    </row>
    <row r="66" spans="1:2">
      <c r="A66" s="3"/>
    </row>
    <row r="71" spans="1:2">
      <c r="A71" s="3"/>
    </row>
    <row r="73" spans="1:2">
      <c r="A73" s="3"/>
    </row>
    <row r="76" spans="1:2">
      <c r="A76" s="3"/>
    </row>
    <row r="80" spans="1:2">
      <c r="A80" s="3"/>
    </row>
    <row r="84" spans="1:1">
      <c r="A84" s="3"/>
    </row>
    <row r="87" spans="1:1">
      <c r="A87" s="3"/>
    </row>
    <row r="88" spans="1:1">
      <c r="A88" s="3"/>
    </row>
    <row r="91" spans="1:1">
      <c r="A91" s="3"/>
    </row>
    <row r="93" spans="1:1">
      <c r="A93" s="3"/>
    </row>
    <row r="97" spans="1:1">
      <c r="A97" s="3"/>
    </row>
    <row r="99" spans="1:1">
      <c r="A99" s="3"/>
    </row>
    <row r="113" spans="1:1">
      <c r="A113" s="3"/>
    </row>
    <row r="942" spans="1:1">
      <c r="A942" s="3"/>
    </row>
    <row r="1007" spans="1:1">
      <c r="A1007" s="3"/>
    </row>
    <row r="1621" spans="1:1">
      <c r="A1621" s="3"/>
    </row>
    <row r="2102" spans="2:2">
      <c r="B2102" s="3"/>
    </row>
    <row r="3065" spans="2:2">
      <c r="B3065" s="3"/>
    </row>
    <row r="3547" spans="1:1">
      <c r="A3547" s="3"/>
    </row>
    <row r="3707" spans="2:2">
      <c r="B3707" s="3"/>
    </row>
    <row r="3907" spans="2:2">
      <c r="B3907" s="3"/>
    </row>
    <row r="4835" spans="2:2">
      <c r="B4835" s="3"/>
    </row>
  </sheetData>
  <phoneticPr fontId="3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V20"/>
  <sheetViews>
    <sheetView showGridLines="0" showRowColHeaders="0" zoomScaleNormal="100" workbookViewId="0">
      <selection activeCell="AD16" sqref="AD16"/>
    </sheetView>
  </sheetViews>
  <sheetFormatPr defaultRowHeight="14.4"/>
  <cols>
    <col min="2" max="2" width="11.33203125" customWidth="1"/>
    <col min="3" max="3" width="13.33203125" customWidth="1"/>
    <col min="6" max="6" width="11.5546875" customWidth="1"/>
    <col min="8" max="8" width="10.88671875" customWidth="1"/>
    <col min="9" max="9" width="7.6640625" customWidth="1"/>
    <col min="10" max="10" width="0.6640625" customWidth="1"/>
    <col min="11" max="11" width="3.77734375" customWidth="1"/>
    <col min="12" max="12" width="0.88671875" customWidth="1"/>
    <col min="16" max="16" width="19.33203125" customWidth="1"/>
    <col min="17" max="17" width="7.21875" customWidth="1"/>
    <col min="18" max="18" width="0.77734375" customWidth="1"/>
    <col min="19" max="19" width="3.88671875" customWidth="1"/>
    <col min="20" max="20" width="1" customWidth="1"/>
    <col min="21" max="21" width="9.109375" customWidth="1"/>
  </cols>
  <sheetData>
    <row r="1" spans="1:22" ht="24.6" customHeight="1" thickBot="1">
      <c r="A1" s="56" t="s">
        <v>37</v>
      </c>
      <c r="B1" s="57" t="s">
        <v>38</v>
      </c>
      <c r="C1" s="57" t="s">
        <v>39</v>
      </c>
      <c r="D1" s="56" t="s">
        <v>37</v>
      </c>
      <c r="E1" s="57" t="s">
        <v>40</v>
      </c>
      <c r="F1" s="57" t="s">
        <v>39</v>
      </c>
      <c r="H1" s="53" t="s">
        <v>41</v>
      </c>
      <c r="I1" s="51" cm="1">
        <f t="array" ref="I1:J1">LINEST(C2:C20,A2:A20,TRUE,FALSE)</f>
        <v>9.9060299677159698</v>
      </c>
      <c r="J1" s="21">
        <v>1.1020711200207733</v>
      </c>
      <c r="K1" s="21" t="s">
        <v>42</v>
      </c>
      <c r="L1" s="21" cm="1">
        <f t="array" ref="L1:M1">LINEST(C2:C20,A2:A20,TRUE,FALSE)</f>
        <v>9.9060299677159698</v>
      </c>
      <c r="M1" s="52">
        <v>1.1020711200207733</v>
      </c>
      <c r="P1" s="54" t="s">
        <v>41</v>
      </c>
      <c r="Q1" s="46" cm="1">
        <f t="array" ref="Q1:R1">LINEST(F2:F20,D2:D20,TRUE,FALSE)</f>
        <v>9.8671336757701287</v>
      </c>
      <c r="R1" s="22">
        <v>1.184083824482006</v>
      </c>
      <c r="S1" s="22" t="s">
        <v>42</v>
      </c>
      <c r="T1" s="22" cm="1">
        <f t="array" ref="T1:U1">LINEST(F2:F20,D2:D20,TRUE,FALSE)</f>
        <v>9.8671336757701287</v>
      </c>
      <c r="U1" s="55">
        <v>1.184083824482006</v>
      </c>
      <c r="V1" s="22"/>
    </row>
    <row r="2" spans="1:22" ht="16.2" thickTop="1">
      <c r="A2" s="30" cm="1">
        <f t="array" ref="A2:A20">FreeFall!A2:A20</f>
        <v>0</v>
      </c>
      <c r="B2" s="30" cm="1">
        <f t="array" ref="B2:B20">FreeFall!B2:B20</f>
        <v>0</v>
      </c>
      <c r="C2" s="30">
        <f>(2*Q7*A2)+R7</f>
        <v>1.1020711200207733</v>
      </c>
      <c r="D2" s="31" cm="1">
        <f t="array" ref="D2:D20">FreeFall!C2:C20</f>
        <v>0</v>
      </c>
      <c r="E2" s="31" cm="1">
        <f t="array" ref="E2:E20">FreeFall!D2:D20</f>
        <v>0</v>
      </c>
      <c r="F2" s="31">
        <f>(2*Q8*D2)+R8</f>
        <v>1.1840838244820062</v>
      </c>
    </row>
    <row r="3" spans="1:22" ht="15.6">
      <c r="A3" s="30">
        <v>1.43E-2</v>
      </c>
      <c r="B3" s="30">
        <v>1.9300000000000001E-2</v>
      </c>
      <c r="C3" s="30">
        <f>(2*Q7*A3)+R7</f>
        <v>1.2437273485591116</v>
      </c>
      <c r="D3" s="31">
        <v>1.32E-2</v>
      </c>
      <c r="E3" s="31">
        <v>1.9300000000000001E-2</v>
      </c>
      <c r="F3" s="31">
        <f>(2*Q8*D3)+R8</f>
        <v>1.3143299890021718</v>
      </c>
    </row>
    <row r="4" spans="1:22" ht="21">
      <c r="A4" s="30">
        <v>3.1600000000000003E-2</v>
      </c>
      <c r="B4" s="30">
        <v>3.8600000000000002E-2</v>
      </c>
      <c r="C4" s="30">
        <f>(2*Q7*A4)+R7</f>
        <v>1.415101667000598</v>
      </c>
      <c r="D4" s="31">
        <v>0.03</v>
      </c>
      <c r="E4" s="31">
        <v>3.8600000000000002E-2</v>
      </c>
      <c r="F4" s="31">
        <f>(2*Q8*D4)+R8</f>
        <v>1.4800978347551099</v>
      </c>
      <c r="Q4" s="48"/>
      <c r="R4" s="49"/>
    </row>
    <row r="5" spans="1:22" ht="15.6">
      <c r="A5" s="30">
        <v>4.2700000000000002E-2</v>
      </c>
      <c r="B5" s="30">
        <v>5.79E-2</v>
      </c>
      <c r="C5" s="30">
        <f>(2*Q7*A5)+R7</f>
        <v>1.5250585996422452</v>
      </c>
      <c r="D5" s="31">
        <v>4.0300000000000002E-2</v>
      </c>
      <c r="E5" s="31">
        <v>5.79E-2</v>
      </c>
      <c r="F5" s="31">
        <f>(2*Q8*D5)+R8</f>
        <v>1.5817293116155424</v>
      </c>
      <c r="Q5" s="10"/>
      <c r="R5" s="10"/>
    </row>
    <row r="6" spans="1:22" ht="21">
      <c r="A6" s="30">
        <v>5.7000000000000002E-2</v>
      </c>
      <c r="B6" s="30">
        <v>7.7200000000000005E-2</v>
      </c>
      <c r="C6" s="30">
        <f>(2*Q7*A6)+R7</f>
        <v>1.6667148281805835</v>
      </c>
      <c r="D6" s="31">
        <v>5.4199999999999998E-2</v>
      </c>
      <c r="E6" s="31">
        <v>7.7200000000000005E-2</v>
      </c>
      <c r="F6" s="31">
        <f>(2*Q8*D6)+R8</f>
        <v>1.718882469708747</v>
      </c>
      <c r="Q6" s="50"/>
      <c r="R6" s="50" t="s">
        <v>19</v>
      </c>
      <c r="S6" s="9" t="s">
        <v>20</v>
      </c>
    </row>
    <row r="7" spans="1:22" ht="21">
      <c r="A7" s="30">
        <v>6.6400000000000001E-2</v>
      </c>
      <c r="B7" s="30">
        <v>9.6500000000000002E-2</v>
      </c>
      <c r="C7" s="30">
        <f>(2*Q7*A7)+R7</f>
        <v>1.7598315098771136</v>
      </c>
      <c r="D7" s="31">
        <v>6.3399999999999998E-2</v>
      </c>
      <c r="E7" s="31">
        <v>9.6500000000000002E-2</v>
      </c>
      <c r="F7" s="31">
        <f>(2*Q8*D7)+R8</f>
        <v>1.8096600995258321</v>
      </c>
      <c r="Q7" s="50" cm="1">
        <f t="array" ref="Q7:S7">LINEST(_xlfn.ANCHORARRAY(B2),_xlfn.ANCHORARRAY(A2)^{1,2},FALSE,FALSE)</f>
        <v>4.953014983857984</v>
      </c>
      <c r="R7" s="50">
        <v>1.1020711200207733</v>
      </c>
      <c r="S7" s="10">
        <v>0</v>
      </c>
    </row>
    <row r="8" spans="1:22" ht="21">
      <c r="A8" s="30">
        <v>7.8700000000000006E-2</v>
      </c>
      <c r="B8" s="30">
        <v>0.1158</v>
      </c>
      <c r="C8" s="30">
        <f>(2*Q7*A8)+R7</f>
        <v>1.8816756784800202</v>
      </c>
      <c r="D8" s="31">
        <v>7.5499999999999998E-2</v>
      </c>
      <c r="E8" s="31">
        <v>0.1158</v>
      </c>
      <c r="F8" s="31">
        <f>(2*Q8*D8)+R8</f>
        <v>1.9290524170026506</v>
      </c>
      <c r="Q8" s="50" cm="1">
        <f t="array" ref="Q8:S8">LINEST(_xlfn.ANCHORARRAY(E2),_xlfn.ANCHORARRAY(D2)^{1,2},FALSE,FALSE)</f>
        <v>4.9335668378850626</v>
      </c>
      <c r="R8" s="50">
        <v>1.1840838244820062</v>
      </c>
      <c r="S8" s="10">
        <v>0</v>
      </c>
    </row>
    <row r="9" spans="1:22" ht="15.6">
      <c r="A9" s="30">
        <v>8.7099999999999997E-2</v>
      </c>
      <c r="B9" s="30">
        <v>0.1351</v>
      </c>
      <c r="C9" s="30">
        <f>(2*Q7*A9)+R7</f>
        <v>1.964886330208834</v>
      </c>
      <c r="D9" s="31">
        <v>8.3699999999999997E-2</v>
      </c>
      <c r="E9" s="31">
        <v>0.1351</v>
      </c>
      <c r="F9" s="31">
        <f>(2*Q8*D9)+R8</f>
        <v>2.0099629131439656</v>
      </c>
    </row>
    <row r="10" spans="1:22" ht="15.6">
      <c r="A10" s="30">
        <v>9.8299999999999998E-2</v>
      </c>
      <c r="B10" s="30">
        <v>0.15440000000000001</v>
      </c>
      <c r="C10" s="30">
        <f>(2*Q7*A10)+R7</f>
        <v>2.0758338658472528</v>
      </c>
      <c r="D10" s="31">
        <v>9.4600000000000004E-2</v>
      </c>
      <c r="E10" s="31">
        <v>0.15440000000000001</v>
      </c>
      <c r="F10" s="31">
        <f>(2*Q8*D10)+R8</f>
        <v>2.11751467020986</v>
      </c>
    </row>
    <row r="11" spans="1:22" ht="15.6">
      <c r="A11" s="30">
        <v>0.106</v>
      </c>
      <c r="B11" s="30">
        <v>0.17369999999999999</v>
      </c>
      <c r="C11" s="30">
        <f>(2*Q7*A11)+R7</f>
        <v>2.152110296598666</v>
      </c>
      <c r="D11" s="31">
        <v>0.1021</v>
      </c>
      <c r="E11" s="31">
        <v>0.17369999999999999</v>
      </c>
      <c r="F11" s="31">
        <f>(2*Q8*D11)+R8</f>
        <v>2.1915181727781361</v>
      </c>
    </row>
    <row r="12" spans="1:22" ht="15.6">
      <c r="A12" s="30">
        <v>0.1162</v>
      </c>
      <c r="B12" s="30">
        <v>0.193</v>
      </c>
      <c r="C12" s="30">
        <f>(2*Q7*A12)+R7</f>
        <v>2.2531518022693691</v>
      </c>
      <c r="D12" s="31">
        <v>0.11219999999999999</v>
      </c>
      <c r="E12" s="31">
        <v>0.193</v>
      </c>
      <c r="F12" s="31">
        <f>(2*Q8*D12)+R8</f>
        <v>2.2911762229034141</v>
      </c>
    </row>
    <row r="13" spans="1:22" ht="15.6">
      <c r="A13" s="30">
        <v>0.1231</v>
      </c>
      <c r="B13" s="30">
        <v>0.21229999999999999</v>
      </c>
      <c r="C13" s="30">
        <f>(2*Q7*A13)+R7</f>
        <v>2.3215034090466089</v>
      </c>
      <c r="D13" s="31">
        <v>0.1192</v>
      </c>
      <c r="E13" s="31">
        <v>0.21229999999999999</v>
      </c>
      <c r="F13" s="31">
        <f>(2*Q8*D13)+R8</f>
        <v>2.3602461586338048</v>
      </c>
    </row>
    <row r="14" spans="1:22" ht="15.6">
      <c r="A14" s="30">
        <v>0.1326</v>
      </c>
      <c r="B14" s="30">
        <v>0.2316</v>
      </c>
      <c r="C14" s="30">
        <f>(2*Q7*A14)+R7</f>
        <v>2.4156106937399109</v>
      </c>
      <c r="D14" s="31">
        <v>0.1283</v>
      </c>
      <c r="E14" s="31">
        <v>0.2316</v>
      </c>
      <c r="F14" s="31">
        <f>(2*Q8*D14)+R8</f>
        <v>2.4500370750833129</v>
      </c>
    </row>
    <row r="15" spans="1:22" ht="15.6">
      <c r="A15" s="30">
        <v>0.1391</v>
      </c>
      <c r="B15" s="30">
        <v>0.25090000000000001</v>
      </c>
      <c r="C15" s="30">
        <f>(2*Q7*A15)+R7</f>
        <v>2.4799998885300645</v>
      </c>
      <c r="D15" s="31">
        <v>0.1348</v>
      </c>
      <c r="E15" s="31">
        <v>0.25090000000000001</v>
      </c>
      <c r="F15" s="31">
        <f>(2*Q8*D15)+R8</f>
        <v>2.5141734439758192</v>
      </c>
    </row>
    <row r="16" spans="1:22" ht="15.6">
      <c r="A16" s="30">
        <v>0.14799999999999999</v>
      </c>
      <c r="B16" s="30">
        <v>0.2702</v>
      </c>
      <c r="C16" s="30">
        <f>(2*Q7*A16)+R7</f>
        <v>2.5681635552427364</v>
      </c>
      <c r="D16" s="31">
        <v>0.14360000000000001</v>
      </c>
      <c r="E16" s="31">
        <v>0.2702</v>
      </c>
      <c r="F16" s="31">
        <f>(2*Q8*D16)+R8</f>
        <v>2.6010042203225963</v>
      </c>
    </row>
    <row r="17" spans="1:6" ht="15.6">
      <c r="A17" s="30">
        <v>0.15429999999999999</v>
      </c>
      <c r="B17" s="30">
        <v>0.28949999999999998</v>
      </c>
      <c r="C17" s="30">
        <f>(2*Q7*A17)+R7</f>
        <v>2.6305715440393471</v>
      </c>
      <c r="D17" s="31">
        <v>0.1497</v>
      </c>
      <c r="E17" s="31">
        <v>0.28949999999999998</v>
      </c>
      <c r="F17" s="31">
        <f>(2*Q8*D17)+R8</f>
        <v>2.6611937357447939</v>
      </c>
    </row>
    <row r="18" spans="1:6" ht="15.6">
      <c r="A18" s="30">
        <v>0.16270000000000001</v>
      </c>
      <c r="B18" s="30">
        <v>0.30880000000000002</v>
      </c>
      <c r="C18" s="30">
        <f>(2*Q7*A18)+R7</f>
        <v>2.7137821957681614</v>
      </c>
      <c r="D18" s="31">
        <v>0.158</v>
      </c>
      <c r="E18" s="31">
        <v>0.30880000000000002</v>
      </c>
      <c r="F18" s="31">
        <f>(2*Q8*D18)+R8</f>
        <v>2.743090945253686</v>
      </c>
    </row>
    <row r="19" spans="1:6" ht="15.6">
      <c r="A19" s="30">
        <v>0.16839999999999999</v>
      </c>
      <c r="B19" s="30">
        <v>0.3281</v>
      </c>
      <c r="C19" s="30">
        <f>(2*Q7*A19)+R7</f>
        <v>2.7702465665841425</v>
      </c>
      <c r="D19" s="31">
        <v>0.16370000000000001</v>
      </c>
      <c r="E19" s="31">
        <v>0.3281</v>
      </c>
      <c r="F19" s="31">
        <f>(2*Q8*D19)+R8</f>
        <v>2.7993336072055759</v>
      </c>
    </row>
    <row r="20" spans="1:6" ht="15.6">
      <c r="A20" s="32">
        <v>0.17630000000000001</v>
      </c>
      <c r="B20" s="32">
        <v>0.34739999999999999</v>
      </c>
      <c r="C20" s="32">
        <f>(2*Q7*A20)+R7</f>
        <v>2.8485042033290986</v>
      </c>
      <c r="D20" s="33">
        <v>0.17150000000000001</v>
      </c>
      <c r="E20" s="33">
        <v>0.34739999999999999</v>
      </c>
      <c r="F20" s="33">
        <f>(2*Q8*D20)+R8</f>
        <v>2.8762972498765826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13"/>
  <sheetViews>
    <sheetView workbookViewId="0">
      <selection activeCell="C22" sqref="C22"/>
    </sheetView>
  </sheetViews>
  <sheetFormatPr defaultRowHeight="14.4"/>
  <cols>
    <col min="1" max="1" width="20.6640625" customWidth="1"/>
    <col min="2" max="2" width="22.109375" customWidth="1"/>
  </cols>
  <sheetData>
    <row r="1" spans="1:3">
      <c r="A1" s="2" t="s">
        <v>0</v>
      </c>
      <c r="B1" s="2" t="s">
        <v>1</v>
      </c>
      <c r="C1" s="2" t="s">
        <v>2</v>
      </c>
    </row>
    <row r="2" spans="1:3">
      <c r="A2" t="s">
        <v>32</v>
      </c>
      <c r="B2" t="s">
        <v>3</v>
      </c>
      <c r="C2" t="s">
        <v>14</v>
      </c>
    </row>
    <row r="3" spans="1:3">
      <c r="A3" t="s">
        <v>31</v>
      </c>
      <c r="B3" t="s">
        <v>4</v>
      </c>
      <c r="C3" t="s">
        <v>15</v>
      </c>
    </row>
    <row r="4" spans="1:3">
      <c r="A4" t="s">
        <v>33</v>
      </c>
      <c r="B4" t="s">
        <v>5</v>
      </c>
      <c r="C4" t="s">
        <v>16</v>
      </c>
    </row>
    <row r="5" spans="1:3">
      <c r="A5" t="s">
        <v>34</v>
      </c>
      <c r="B5" t="s">
        <v>6</v>
      </c>
      <c r="C5" t="s">
        <v>17</v>
      </c>
    </row>
    <row r="6" spans="1:3">
      <c r="A6" s="1" t="s">
        <v>7</v>
      </c>
      <c r="B6" t="s">
        <v>8</v>
      </c>
      <c r="C6" t="s">
        <v>18</v>
      </c>
    </row>
    <row r="7" spans="1:3">
      <c r="B7" t="s">
        <v>9</v>
      </c>
      <c r="C7" t="s">
        <v>10</v>
      </c>
    </row>
    <row r="8" spans="1:3">
      <c r="B8" t="s">
        <v>9</v>
      </c>
      <c r="C8" t="s">
        <v>11</v>
      </c>
    </row>
    <row r="9" spans="1:3">
      <c r="B9" t="s">
        <v>9</v>
      </c>
      <c r="C9" t="s">
        <v>10</v>
      </c>
    </row>
    <row r="10" spans="1:3">
      <c r="B10" t="s">
        <v>9</v>
      </c>
      <c r="C10" t="s">
        <v>10</v>
      </c>
    </row>
    <row r="12" spans="1:3">
      <c r="A12" t="s">
        <v>12</v>
      </c>
    </row>
    <row r="13" spans="1:3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FreeFall</vt:lpstr>
      <vt:lpstr>g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Jéssica Santos</cp:lastModifiedBy>
  <dcterms:created xsi:type="dcterms:W3CDTF">2022-07-02T20:35:55Z</dcterms:created>
  <dcterms:modified xsi:type="dcterms:W3CDTF">2024-10-16T01:44:08Z</dcterms:modified>
</cp:coreProperties>
</file>